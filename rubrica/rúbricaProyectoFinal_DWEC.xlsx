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OD_2DAW-DWEC\RecursosDWEC\TFG\"/>
    </mc:Choice>
  </mc:AlternateContent>
  <xr:revisionPtr revIDLastSave="0" documentId="13_ncr:1_{4B4D847A-7AE9-449F-A400-23C8AE623C7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valuación" sheetId="1" r:id="rId1"/>
    <sheet name="Matriz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6" i="1"/>
  <c r="C17" i="1"/>
  <c r="D17" i="1" s="1"/>
  <c r="B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La nota final se calcula como promedio ponderado sobre 5. Puedes cambiar los pesos si lo necesitas.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Peso editable. Por defecto, todos los criterios ponderan igual (10%).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Peso editable. Por defecto, todos los criterios ponderan igual (10%).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Peso editable. Por defecto, todos los criterios ponderan igual (10%).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Peso editable. Por defecto, todos los criterios ponderan igual (10%).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Peso editable. Por defecto, todos los criterios ponderan igual (10%).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Peso editable. Por defecto, todos los criterios ponderan igual (10%).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Peso editable. Por defecto, todos los criterios ponderan igual (10%).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Peso editable. Por defecto, todos los criterios ponderan igual (10%).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Peso editable. Por defecto, todos los criterios ponderan igual (10%).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Peso editable. Por defecto, todos los criterios ponderan igual (10%).</t>
        </r>
      </text>
    </comment>
  </commentList>
</comments>
</file>

<file path=xl/sharedStrings.xml><?xml version="1.0" encoding="utf-8"?>
<sst xmlns="http://schemas.openxmlformats.org/spreadsheetml/2006/main" count="112" uniqueCount="101">
  <si>
    <t>Rúbrica de evaluación · Proyecto de programación en JavaScript</t>
  </si>
  <si>
    <t>Escala</t>
  </si>
  <si>
    <t>0 · No evidenciado | 1,25 · Inicial | 2,5 · Aceptable | 3,75 · Notable | 5 · Excelente</t>
  </si>
  <si>
    <t>Nota final</t>
  </si>
  <si>
    <t>Promedio ponderado sobre 5</t>
  </si>
  <si>
    <t>Criterio</t>
  </si>
  <si>
    <t>Peso %</t>
  </si>
  <si>
    <t>Puntuación</t>
  </si>
  <si>
    <t>Nivel</t>
  </si>
  <si>
    <t>Observaciones</t>
  </si>
  <si>
    <t>Sintaxis del código: estructuras avanzadas, comentarios, nomenclatura y JSDoc</t>
  </si>
  <si>
    <t/>
  </si>
  <si>
    <t>Validación de datos, formularios y expresiones regulares</t>
  </si>
  <si>
    <t>Document Object Model (DOM)</t>
  </si>
  <si>
    <t>Eventos y control de formularios</t>
  </si>
  <si>
    <t>Programación asíncrona y AJAX</t>
  </si>
  <si>
    <t>Interacción eficiente entre DOM, eventos, AJAX y JSON</t>
  </si>
  <si>
    <t>Control de excepciones, control de errores y enfoque userFriendly</t>
  </si>
  <si>
    <t>Uso de APIs, librerías y jQuery</t>
  </si>
  <si>
    <t>Gestión eficiente de cookies en el FrontEnd</t>
  </si>
  <si>
    <t>Calidad de la documentación asociada al código</t>
  </si>
  <si>
    <t>Resultado</t>
  </si>
  <si>
    <t>Qué se evalúa</t>
  </si>
  <si>
    <t>0 · No evidenciado</t>
  </si>
  <si>
    <t>Separación HTML/JS, uso de módulos y librerías, evitar inyectar HTML desde JS salvo casos justificados, estructuras avanzadas (Map, Set, desestructuración, arrow functions, etc.), 'use strict', nomenclatura, comentarios y JSDoc en español.</t>
  </si>
  <si>
    <t>Código desordenado o casi inexistente; HTML y JS mezclados sin criterio; sin nomenclatura clara, comentarios ni JSDoc.</t>
  </si>
  <si>
    <t>Estructura poco clara; mezcla frecuente de HTML/JS; uso mínimo o incorrecto de estructuras avanzadas; comentarios escasos.</t>
  </si>
  <si>
    <t>Separación y sintaxis aceptables; algún uso de módulos o estructuras avanzadas; nomenclatura comprensible; comentarios/JSDoc parciales.</t>
  </si>
  <si>
    <t>Código bien organizado; buena separación HTML/JS; uso adecuado de módulos y estructuras avanzadas; nombres claros; comentarios y JSDoc útiles.</t>
  </si>
  <si>
    <t>Código excelente y consistente; sin inyección innecesaria de HTML; uso sólido de módulos, estructuras avanzadas y 'use strict'; JSDoc y comentarios completos, claros y en español.</t>
  </si>
  <si>
    <t>Gestión de campos de formulario, validación en JavaScript y uso eficiente de expresiones regulares.</t>
  </si>
  <si>
    <t>No valida formularios ni datos.</t>
  </si>
  <si>
    <t>Validaciones mínimas o solo HTML; expresiones regulares incorrectas o irrelevantes.</t>
  </si>
  <si>
    <t>Valida los campos principales; usa expresiones regulares sencillas; muestra algunos mensajes de error.</t>
  </si>
  <si>
    <t>Valida correctamente formularios y casos habituales; expresiones regulares adecuadas; previene envíos erróneos con buena UX.</t>
  </si>
  <si>
    <t>Validación robusta, completa y coherente; expresiones regulares bien diseñadas; feedback inmediato, claro y útil.</t>
  </si>
  <si>
    <t>Uso eficiente del DOM: elementos, atributos, estilos y avisos de error.</t>
  </si>
  <si>
    <t>No manipula el DOM o lo hace de forma incorrecta.</t>
  </si>
  <si>
    <t>Manipulación básica y poco eficiente; cambios poco claros o inconsistentes.</t>
  </si>
  <si>
    <t>Maneja elementos, atributos y estilos básicos; muestra avisos funcionales.</t>
  </si>
  <si>
    <t>Uso eficiente del DOM; actualiza elementos, atributos y estilos con claridad; mensajes de error correctos.</t>
  </si>
  <si>
    <t>DOM optimizado, limpio y coherente; cambios precisos, reutilizables y bien integrados con la interfaz.</t>
  </si>
  <si>
    <t>Gestión de eventos, uso de listeners y combinación eficiente de CSS y JavaScript en formularios, formatos y capas.</t>
  </si>
  <si>
    <t>Los eventos están ausentes o mal gestionados.</t>
  </si>
  <si>
    <t>Hay algunos listeners, pero con errores, duplicidades o acoplamiento excesivo.</t>
  </si>
  <si>
    <t>Gestión funcional de eventos y formularios; listeners suficientes; combinación CSS/JS básica.</t>
  </si>
  <si>
    <t>Gestión adecuada y ordenada; listeners eficientes; buen control visual mediante CSS y JavaScript.</t>
  </si>
  <si>
    <t>Arquitectura de eventos excelente; listeners bien organizados y delegación cuando procede; formularios y capas responden de forma fluida.</t>
  </si>
  <si>
    <t>No hay asincronía/AJAX o no funciona.</t>
  </si>
  <si>
    <t>Peticiones incompletas o mal resueltas; promesas mal usadas o mal entendidas.</t>
  </si>
  <si>
    <t>Usa promesas/AJAX de forma funcional; maneja petición-respuesta básica con JSON/backEnd.</t>
  </si>
  <si>
    <t>Buena gestión asíncrona; promesas y then/catch correctos; intercambio JSON estable con el backEnd.</t>
  </si>
  <si>
    <t>Flujo asíncrono robusto y claro; peticiones, respuestas y estados bien gestionados; integración impecable con el backEnd.</t>
  </si>
  <si>
    <t>No existe interacción conjunta entre DOM, eventos y AJAX/JSON.</t>
  </si>
  <si>
    <t>La integración es anecdótica, poco funcional o no altera realmente la interfaz.</t>
  </si>
  <si>
    <t>Existe interacción básica entre DOM, eventos y AJAX/JSON; modifica parte de la interfaz según datos del usuario.</t>
  </si>
  <si>
    <t>Integración clara y funcional; la interfaz cambia correctamente según la identificación o el estado recibido del servidor.</t>
  </si>
  <si>
    <t>Integración excelente y demostrable; DOM, eventos y AJAX/JSON cooperan de forma eficiente para transformar la interfaz según rol, contexto o permisos.</t>
  </si>
  <si>
    <t>Uso de try/catch y/o then/catch, control de errores y calidad de los mensajes mostrados al usuario.</t>
  </si>
  <si>
    <t>No existe control de errores ni de excepciones.</t>
  </si>
  <si>
    <t>Control puntual o superficial; los errores son técnicos o confusos para el usuario.</t>
  </si>
  <si>
    <t>Maneja algunos errores con try/catch o then/catch; mensajes aceptables pero mejorables.</t>
  </si>
  <si>
    <t>Control sólido de excepciones y errores; mensajes claros y recuperación razonable del flujo.</t>
  </si>
  <si>
    <t>Gestión preventiva y completa; mensajes userFriendly, útiles y consistentes; favorece la recuperación y el diagnóstico.</t>
  </si>
  <si>
    <t>Tratamiento de APIs y estructuras no vistas en clase (autoaprendizaje), integración de librerías externas y jQuery.</t>
  </si>
  <si>
    <t>No usa APIs/librerías o su uso es inapropiado.</t>
  </si>
  <si>
    <t>Uso superficial o copiado sin comprensión clara.</t>
  </si>
  <si>
    <t>Usa alguna API, librería o jQuery de forma funcional.</t>
  </si>
  <si>
    <t>Integra APIs/librerías con criterio; evidencia autoaprendizaje y comprensión.</t>
  </si>
  <si>
    <t>Selección e integración excelente de APIs/librerías/jQuery; aporta valor real al proyecto y demuestra autonomía técnica.</t>
  </si>
  <si>
    <t>Gestión de cookies con avisos adecuados al usuario, diferenciación respecto al backEnd y recuperación de datos iniciales (usuario, producto, reservas, etc.).</t>
  </si>
  <si>
    <t>No usa cookies en el frontEnd.</t>
  </si>
  <si>
    <t>Uso mínimo o incorrecto; sin aviso adecuado o sin utilidad real.</t>
  </si>
  <si>
    <t>Guarda o recupera datos básicos; el aviso es mejorable; diferenciación con el backEnd parcial.</t>
  </si>
  <si>
    <t>Gestión correcta de cookies frontEnd con aviso adecuado; recupera datos útiles y las diferencia del backEnd.</t>
  </si>
  <si>
    <t>Gestión eficiente y bien justificada; aviso claro, recuperación útil de estado/datos y separación nítida respecto al backEnd.</t>
  </si>
  <si>
    <t>No hay documentación útil o impide localizar el trabajo propio.</t>
  </si>
  <si>
    <t>Documentación escasa y desordenada; no localiza claramente el código propio.</t>
  </si>
  <si>
    <t>Documentación suficiente; identifica parte del código y de los criterios evaluables.</t>
  </si>
  <si>
    <t>Documentación clara y útil; localiza bien los archivos en GitHub y explica criterios relevantes.</t>
  </si>
  <si>
    <t>Documentación excelente, completa y fácil de revisar; identifica con precisión el código propio, explica decisiones y facilita la evaluación y la presentación.</t>
  </si>
  <si>
    <t>1 · Excelente</t>
  </si>
  <si>
    <t>0,75 · Notable</t>
  </si>
  <si>
    <t>0,5 · Aceptable</t>
  </si>
  <si>
    <t>0,25 · Inicial</t>
  </si>
  <si>
    <r>
      <t xml:space="preserve">Sintaxis del código: estructuras avanzadas, comentarios, nomenclatura y JSDoc </t>
    </r>
    <r>
      <rPr>
        <b/>
        <sz val="11"/>
        <color rgb="FFFF0000"/>
        <rFont val="Calibri"/>
        <family val="2"/>
      </rPr>
      <t>(P_10)</t>
    </r>
  </si>
  <si>
    <r>
      <t xml:space="preserve">Validación de datos, formularios y expresiones regulares </t>
    </r>
    <r>
      <rPr>
        <b/>
        <sz val="11"/>
        <color rgb="FFFF0000"/>
        <rFont val="Calibri"/>
        <family val="2"/>
      </rPr>
      <t>(P_10)</t>
    </r>
  </si>
  <si>
    <r>
      <t xml:space="preserve">Control de excepciones, control de errores y enfoque userFriendly </t>
    </r>
    <r>
      <rPr>
        <b/>
        <sz val="11"/>
        <color rgb="FFFF0000"/>
        <rFont val="Calibri"/>
        <family val="2"/>
      </rPr>
      <t>(P_10)</t>
    </r>
  </si>
  <si>
    <r>
      <t xml:space="preserve">Calidad de la documentación asociada al código </t>
    </r>
    <r>
      <rPr>
        <b/>
        <sz val="11"/>
        <color rgb="FFFF0000"/>
        <rFont val="Calibri"/>
        <family val="2"/>
      </rPr>
      <t>(P_10)</t>
    </r>
  </si>
  <si>
    <r>
      <t xml:space="preserve">Document Object Model (DOM) </t>
    </r>
    <r>
      <rPr>
        <b/>
        <sz val="11"/>
        <color rgb="FFFF0000"/>
        <rFont val="Calibri"/>
        <family val="2"/>
      </rPr>
      <t>(P_7)</t>
    </r>
  </si>
  <si>
    <r>
      <t xml:space="preserve">Eventos y control de formularios </t>
    </r>
    <r>
      <rPr>
        <b/>
        <sz val="11"/>
        <color rgb="FFFF0000"/>
        <rFont val="Calibri"/>
        <family val="2"/>
      </rPr>
      <t>(P_7)</t>
    </r>
  </si>
  <si>
    <r>
      <t xml:space="preserve">Programación asíncrona y AJAX </t>
    </r>
    <r>
      <rPr>
        <b/>
        <sz val="11"/>
        <color rgb="FFFF0000"/>
        <rFont val="Calibri"/>
        <family val="2"/>
      </rPr>
      <t>(P_7)</t>
    </r>
  </si>
  <si>
    <r>
      <t>Interacción eficiente entre DOM, eventos, AJAX y JSON</t>
    </r>
    <r>
      <rPr>
        <b/>
        <sz val="11"/>
        <color rgb="FFFF0000"/>
        <rFont val="Calibri"/>
        <family val="2"/>
      </rPr>
      <t xml:space="preserve"> (P_20)</t>
    </r>
  </si>
  <si>
    <r>
      <t xml:space="preserve">Uso de APIs, librerías y jQuery </t>
    </r>
    <r>
      <rPr>
        <b/>
        <sz val="11"/>
        <color rgb="FFFF0000"/>
        <rFont val="Calibri"/>
        <family val="2"/>
      </rPr>
      <t>(P_7)</t>
    </r>
  </si>
  <si>
    <r>
      <t xml:space="preserve">Gestión eficiente de cookies en el FrontEnd </t>
    </r>
    <r>
      <rPr>
        <b/>
        <sz val="11"/>
        <color rgb="FFFF0000"/>
        <rFont val="Calibri"/>
        <family val="2"/>
      </rPr>
      <t>(P_7)</t>
    </r>
  </si>
  <si>
    <t>Promesas, then/catch, async/await, Axios,  AJAX/JSON y conexión adecuada con PHP/backEnd: petición y respuesta.</t>
  </si>
  <si>
    <t>Obligatorio. Baja mucho la nota general su ausencia o deficiente realización</t>
  </si>
  <si>
    <t>Necesario. Si no está documentado es que no queda claro su funcionamiento por el alumno.</t>
  </si>
  <si>
    <r>
      <t xml:space="preserve">Integración </t>
    </r>
    <r>
      <rPr>
        <b/>
        <sz val="11"/>
        <color theme="1"/>
        <rFont val="Calibri"/>
        <family val="2"/>
        <scheme val="minor"/>
      </rPr>
      <t>obligatoria</t>
    </r>
    <r>
      <rPr>
        <sz val="11"/>
        <color theme="1"/>
        <rFont val="Calibri"/>
        <family val="2"/>
        <scheme val="minor"/>
      </rPr>
      <t xml:space="preserve"> entre DOM, eventos y AJAX/JSON a partir de datos enviados por el usuario al servidor; la interfaz debe transformarse según el estado, identificación o rol recibido.</t>
    </r>
  </si>
  <si>
    <r>
      <t xml:space="preserve">Claridad de la documentación técnica y de presentación, identificación de los ficheros donde se localiza el código propio en GitHub y apoyo a la evaluación del proyecto. </t>
    </r>
    <r>
      <rPr>
        <b/>
        <sz val="11"/>
        <color theme="1"/>
        <rFont val="Calibri"/>
        <family val="2"/>
        <scheme val="minor"/>
      </rPr>
      <t>Necesario para comprensión del proyecto</t>
    </r>
    <r>
      <rPr>
        <sz val="11"/>
        <color theme="1"/>
        <rFont val="Calibri"/>
        <family val="2"/>
        <scheme val="minor"/>
      </rPr>
      <t>.</t>
    </r>
  </si>
  <si>
    <r>
      <t>CRITERIO/</t>
    </r>
    <r>
      <rPr>
        <b/>
        <sz val="12"/>
        <color theme="5" tint="0.39997558519241921"/>
        <rFont val="Calibri"/>
        <family val="2"/>
      </rPr>
      <t>Peso</t>
    </r>
    <r>
      <rPr>
        <b/>
        <sz val="12"/>
        <color rgb="FFFFFFFF"/>
        <rFont val="Calibri"/>
        <family val="2"/>
      </rPr>
      <t xml:space="preserve"> en la nota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</si>
</sst>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2"/>
      <color theme="5" tint="0.3999755851924192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DE9E7"/>
      </patternFill>
    </fill>
    <fill>
      <patternFill patternType="solid">
        <fgColor rgb="FFFCE4D6"/>
      </patternFill>
    </fill>
    <fill>
      <patternFill patternType="solid">
        <fgColor rgb="FFFDE9A9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double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double">
        <color indexed="64"/>
      </right>
      <top style="thin">
        <color rgb="FFBFBFBF"/>
      </top>
      <bottom style="thin">
        <color rgb="FFBFBFBF"/>
      </bottom>
      <diagonal/>
    </border>
    <border>
      <left style="double">
        <color indexed="64"/>
      </left>
      <right style="thin">
        <color rgb="FFBFBFBF"/>
      </right>
      <top style="thin">
        <color rgb="FFBFBFBF"/>
      </top>
      <bottom style="double">
        <color indexed="64"/>
      </bottom>
      <diagonal/>
    </border>
    <border>
      <left style="thin">
        <color rgb="FFBFBFBF"/>
      </left>
      <right style="double">
        <color indexed="64"/>
      </right>
      <top style="thin">
        <color rgb="FFBFBFBF"/>
      </top>
      <bottom style="double">
        <color indexed="64"/>
      </bottom>
      <diagonal/>
    </border>
    <border>
      <left style="double">
        <color indexed="64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double">
        <color indexed="64"/>
      </right>
      <top/>
      <bottom style="thin">
        <color rgb="FFBFBFBF"/>
      </bottom>
      <diagonal/>
    </border>
    <border>
      <left style="double">
        <color indexed="64"/>
      </left>
      <right style="thin">
        <color rgb="FFBFBFBF"/>
      </right>
      <top style="double">
        <color indexed="64"/>
      </top>
      <bottom style="double">
        <color indexed="64"/>
      </bottom>
      <diagonal/>
    </border>
    <border>
      <left style="thin">
        <color rgb="FFBFBFBF"/>
      </left>
      <right style="thin">
        <color rgb="FFBFBFBF"/>
      </right>
      <top style="double">
        <color indexed="64"/>
      </top>
      <bottom style="double">
        <color indexed="64"/>
      </bottom>
      <diagonal/>
    </border>
    <border>
      <left style="thin">
        <color rgb="FFBFBFBF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9" fillId="11" borderId="1" xfId="0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2" fontId="9" fillId="12" borderId="1" xfId="0" applyNumberFormat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top" wrapText="1"/>
    </xf>
    <xf numFmtId="0" fontId="6" fillId="10" borderId="11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left" vertical="top" wrapText="1" indent="1"/>
    </xf>
    <xf numFmtId="0" fontId="0" fillId="7" borderId="9" xfId="0" applyFill="1" applyBorder="1" applyAlignment="1">
      <alignment horizontal="left" vertical="top" wrapText="1" indent="1"/>
    </xf>
    <xf numFmtId="0" fontId="0" fillId="6" borderId="9" xfId="0" applyFill="1" applyBorder="1" applyAlignment="1">
      <alignment horizontal="left" vertical="top" wrapText="1" indent="1"/>
    </xf>
    <xf numFmtId="0" fontId="0" fillId="5" borderId="9" xfId="0" applyFill="1" applyBorder="1" applyAlignment="1">
      <alignment horizontal="left" vertical="top" wrapText="1" indent="1"/>
    </xf>
    <xf numFmtId="0" fontId="0" fillId="4" borderId="10" xfId="0" applyFill="1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7" borderId="1" xfId="0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 indent="1"/>
    </xf>
    <xf numFmtId="0" fontId="0" fillId="5" borderId="1" xfId="0" applyFill="1" applyBorder="1" applyAlignment="1">
      <alignment horizontal="left" vertical="top" wrapText="1" indent="1"/>
    </xf>
    <xf numFmtId="0" fontId="0" fillId="4" borderId="5" xfId="0" applyFill="1" applyBorder="1" applyAlignment="1">
      <alignment horizontal="left" vertical="top" wrapText="1" indent="1"/>
    </xf>
    <xf numFmtId="0" fontId="0" fillId="8" borderId="6" xfId="0" applyFill="1" applyBorder="1" applyAlignment="1">
      <alignment horizontal="left" vertical="top" wrapText="1" indent="1"/>
    </xf>
    <xf numFmtId="0" fontId="0" fillId="7" borderId="2" xfId="0" applyFill="1" applyBorder="1" applyAlignment="1">
      <alignment horizontal="left" vertical="top" wrapText="1" indent="1"/>
    </xf>
    <xf numFmtId="0" fontId="0" fillId="6" borderId="2" xfId="0" applyFill="1" applyBorder="1" applyAlignment="1">
      <alignment horizontal="left" vertical="top" wrapText="1" indent="1"/>
    </xf>
    <xf numFmtId="0" fontId="0" fillId="5" borderId="2" xfId="0" applyFill="1" applyBorder="1" applyAlignment="1">
      <alignment horizontal="left" vertical="top" wrapText="1" indent="1"/>
    </xf>
    <xf numFmtId="0" fontId="0" fillId="4" borderId="7" xfId="0" applyFill="1" applyBorder="1" applyAlignment="1">
      <alignment horizontal="left" vertical="top" wrapText="1" indent="1"/>
    </xf>
  </cellXfs>
  <cellStyles count="1">
    <cellStyle name="Normal" xfId="0" builtinId="0"/>
  </cellStyles>
  <dxfs count="5">
    <dxf>
      <fill>
        <patternFill>
          <bgColor rgb="FFE2F0D9"/>
        </patternFill>
      </fill>
    </dxf>
    <dxf>
      <fill>
        <patternFill>
          <bgColor rgb="FFEAF3F8"/>
        </patternFill>
      </fill>
    </dxf>
    <dxf>
      <fill>
        <patternFill>
          <bgColor rgb="FFFDE9A9"/>
        </patternFill>
      </fill>
    </dxf>
    <dxf>
      <fill>
        <patternFill>
          <bgColor rgb="FFFCE4D6"/>
        </patternFill>
      </fill>
    </dxf>
    <dxf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0861b5b5432a4695" Type="http://schemas.microsoft.com/office/2017/10/relationships/person" Target="persons/person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831850</xdr:colOff>
      <xdr:row>24</xdr:row>
      <xdr:rowOff>82550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DF7643DE-4998-4C74-A0E3-10D749D966E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F1BEB731-1D34-137C-4800-E71D07D64973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E17"/>
  <sheetViews>
    <sheetView topLeftCell="A4" workbookViewId="0">
      <selection activeCell="F11" sqref="F11"/>
    </sheetView>
  </sheetViews>
  <sheetFormatPr baseColWidth="10" defaultColWidth="8.7265625" defaultRowHeight="14.5" x14ac:dyDescent="0.35"/>
  <cols>
    <col min="1" max="1" width="42" customWidth="1"/>
    <col min="2" max="2" width="10" customWidth="1"/>
    <col min="3" max="3" width="12" customWidth="1"/>
    <col min="4" max="4" width="15" customWidth="1"/>
    <col min="5" max="5" width="40" customWidth="1"/>
  </cols>
  <sheetData>
    <row r="1" spans="1:5" ht="16" customHeight="1" x14ac:dyDescent="0.35">
      <c r="A1" s="4" t="s">
        <v>0</v>
      </c>
      <c r="B1" s="5"/>
      <c r="C1" s="5"/>
      <c r="D1" s="5"/>
      <c r="E1" s="5"/>
    </row>
    <row r="2" spans="1:5" ht="13.4" customHeight="1" x14ac:dyDescent="0.35">
      <c r="A2" s="1" t="s">
        <v>1</v>
      </c>
      <c r="B2" t="s">
        <v>2</v>
      </c>
    </row>
    <row r="3" spans="1:5" ht="13.4" customHeight="1" x14ac:dyDescent="0.35">
      <c r="A3" s="1" t="s">
        <v>3</v>
      </c>
      <c r="B3" t="s">
        <v>4</v>
      </c>
    </row>
    <row r="4" spans="1:5" ht="13.4" customHeight="1" x14ac:dyDescent="0.35"/>
    <row r="5" spans="1:5" ht="16" customHeight="1" x14ac:dyDescent="0.3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 ht="28" customHeight="1" x14ac:dyDescent="0.35">
      <c r="A6" s="3" t="s">
        <v>10</v>
      </c>
      <c r="B6" s="7">
        <v>10</v>
      </c>
      <c r="C6" s="6">
        <v>0.5</v>
      </c>
      <c r="D6" s="9" t="str">
        <f>IF(C6="","",IF(C6=0,"No evidenciado",IF(C6=0.25,"Inicial",IF(C6=0.5,"Aceptable",IF(C6=0.75,"Notable","Excelente")))))</f>
        <v>Aceptable</v>
      </c>
      <c r="E6" s="3" t="s">
        <v>11</v>
      </c>
    </row>
    <row r="7" spans="1:5" ht="28" customHeight="1" x14ac:dyDescent="0.35">
      <c r="A7" s="3" t="s">
        <v>12</v>
      </c>
      <c r="B7" s="7">
        <v>10</v>
      </c>
      <c r="C7" s="6">
        <v>0.5</v>
      </c>
      <c r="D7" s="9" t="str">
        <f t="shared" ref="D7:D15" si="0">IF(C7="","",IF(C7=0,"No evidenciado",IF(C7=0.25,"Inicial",IF(C7=0.5,"Aceptable",IF(C7=0.75,"Notable","Excelente")))))</f>
        <v>Aceptable</v>
      </c>
      <c r="E7" s="3" t="s">
        <v>11</v>
      </c>
    </row>
    <row r="8" spans="1:5" ht="28" customHeight="1" x14ac:dyDescent="0.35">
      <c r="A8" s="3" t="s">
        <v>13</v>
      </c>
      <c r="B8" s="7">
        <v>7</v>
      </c>
      <c r="C8" s="6">
        <v>0.5</v>
      </c>
      <c r="D8" s="9" t="str">
        <f t="shared" si="0"/>
        <v>Aceptable</v>
      </c>
      <c r="E8" s="3" t="s">
        <v>11</v>
      </c>
    </row>
    <row r="9" spans="1:5" ht="28" customHeight="1" x14ac:dyDescent="0.35">
      <c r="A9" s="3" t="s">
        <v>14</v>
      </c>
      <c r="B9" s="7">
        <v>7</v>
      </c>
      <c r="C9" s="6">
        <v>0.5</v>
      </c>
      <c r="D9" s="9" t="str">
        <f t="shared" si="0"/>
        <v>Aceptable</v>
      </c>
      <c r="E9" s="3" t="s">
        <v>11</v>
      </c>
    </row>
    <row r="10" spans="1:5" ht="28" customHeight="1" x14ac:dyDescent="0.35">
      <c r="A10" s="3" t="s">
        <v>15</v>
      </c>
      <c r="B10" s="7">
        <v>7</v>
      </c>
      <c r="C10" s="6">
        <v>0.5</v>
      </c>
      <c r="D10" s="9" t="str">
        <f t="shared" si="0"/>
        <v>Aceptable</v>
      </c>
      <c r="E10" s="3" t="s">
        <v>11</v>
      </c>
    </row>
    <row r="11" spans="1:5" ht="28" customHeight="1" x14ac:dyDescent="0.35">
      <c r="A11" s="3" t="s">
        <v>16</v>
      </c>
      <c r="B11" s="7">
        <v>20</v>
      </c>
      <c r="C11" s="6">
        <v>0.5</v>
      </c>
      <c r="D11" s="9" t="str">
        <f t="shared" si="0"/>
        <v>Aceptable</v>
      </c>
      <c r="E11" s="3" t="s">
        <v>96</v>
      </c>
    </row>
    <row r="12" spans="1:5" ht="28" customHeight="1" x14ac:dyDescent="0.35">
      <c r="A12" s="3" t="s">
        <v>17</v>
      </c>
      <c r="B12" s="7">
        <v>10</v>
      </c>
      <c r="C12" s="6">
        <v>0.5</v>
      </c>
      <c r="D12" s="9" t="str">
        <f t="shared" si="0"/>
        <v>Aceptable</v>
      </c>
      <c r="E12" s="3" t="s">
        <v>11</v>
      </c>
    </row>
    <row r="13" spans="1:5" ht="28" customHeight="1" x14ac:dyDescent="0.35">
      <c r="A13" s="3" t="s">
        <v>18</v>
      </c>
      <c r="B13" s="7">
        <v>7</v>
      </c>
      <c r="C13" s="6">
        <v>0.5</v>
      </c>
      <c r="D13" s="9" t="str">
        <f t="shared" si="0"/>
        <v>Aceptable</v>
      </c>
      <c r="E13" s="3" t="s">
        <v>11</v>
      </c>
    </row>
    <row r="14" spans="1:5" ht="28" customHeight="1" x14ac:dyDescent="0.35">
      <c r="A14" s="3" t="s">
        <v>19</v>
      </c>
      <c r="B14" s="7">
        <v>7</v>
      </c>
      <c r="C14" s="6">
        <v>0.5</v>
      </c>
      <c r="D14" s="9" t="str">
        <f t="shared" si="0"/>
        <v>Aceptable</v>
      </c>
      <c r="E14" s="3" t="s">
        <v>11</v>
      </c>
    </row>
    <row r="15" spans="1:5" ht="28" customHeight="1" x14ac:dyDescent="0.35">
      <c r="A15" s="3" t="s">
        <v>20</v>
      </c>
      <c r="B15" s="7">
        <v>15</v>
      </c>
      <c r="C15" s="6">
        <v>0.5</v>
      </c>
      <c r="D15" s="9" t="str">
        <f t="shared" si="0"/>
        <v>Aceptable</v>
      </c>
      <c r="E15" s="3" t="s">
        <v>97</v>
      </c>
    </row>
    <row r="16" spans="1:5" ht="9" customHeight="1" x14ac:dyDescent="0.35"/>
    <row r="17" spans="1:5" ht="23.5" customHeight="1" x14ac:dyDescent="0.35">
      <c r="A17" s="8" t="s">
        <v>21</v>
      </c>
      <c r="B17" s="13">
        <f>SUM(B6:B15)</f>
        <v>100</v>
      </c>
      <c r="C17" s="14">
        <f>IFERROR((SUMPRODUCT(B6:B15,C6:C15)/SUM(B6:B15)*10),"")</f>
        <v>5</v>
      </c>
      <c r="D17" s="12" t="str">
        <f>IF(C17="","",IF(C17&lt;2.5,"No evidenciado",IF(C17&lt;5,"Inicial",IF(C17&lt;7.5,"Aceptable",IF(C17&lt;10,"Notable","Excelente")))))</f>
        <v>Aceptable</v>
      </c>
      <c r="E17" s="3"/>
    </row>
  </sheetData>
  <mergeCells count="1">
    <mergeCell ref="A1:E1"/>
  </mergeCells>
  <conditionalFormatting sqref="C6:C15">
    <cfRule type="cellIs" dxfId="4" priority="1" operator="equal">
      <formula>0</formula>
    </cfRule>
    <cfRule type="cellIs" dxfId="3" priority="2" operator="equal">
      <formula>1.25</formula>
    </cfRule>
    <cfRule type="cellIs" dxfId="2" priority="3" operator="equal">
      <formula>2.5</formula>
    </cfRule>
    <cfRule type="cellIs" dxfId="1" priority="4" operator="equal">
      <formula>3.75</formula>
    </cfRule>
    <cfRule type="cellIs" dxfId="0" priority="5" operator="equal">
      <formula>5</formula>
    </cfRule>
  </conditionalFormatting>
  <dataValidations count="1">
    <dataValidation type="list" allowBlank="1" showInputMessage="1" showErrorMessage="1" sqref="C6:C15" xr:uid="{66998A26-3B8C-4433-B1F4-9C29D32DF95D}">
      <mc:AlternateContent xmlns:x12ac="http://schemas.microsoft.com/office/spreadsheetml/2011/1/ac" xmlns:mc="http://schemas.openxmlformats.org/markup-compatibility/2006">
        <mc:Choice Requires="x12ac">
          <x12ac:list>0,"0,25","0,5","0,75",1</x12ac:list>
        </mc:Choice>
        <mc:Fallback>
          <formula1>"0,0,25,0,5,0,75,1"</formula1>
        </mc:Fallback>
      </mc:AlternateContent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B1:H13"/>
  <sheetViews>
    <sheetView tabSelected="1" zoomScale="70" zoomScaleNormal="70" workbookViewId="0">
      <selection activeCell="E4" sqref="E4"/>
    </sheetView>
  </sheetViews>
  <sheetFormatPr baseColWidth="10" defaultColWidth="8.7265625" defaultRowHeight="14.5" x14ac:dyDescent="0.35"/>
  <cols>
    <col min="1" max="1" width="2.6328125" customWidth="1"/>
    <col min="2" max="2" width="28" customWidth="1"/>
    <col min="3" max="3" width="40.6328125" customWidth="1"/>
    <col min="4" max="8" width="30.6328125" customWidth="1"/>
  </cols>
  <sheetData>
    <row r="1" spans="2:8" ht="15" thickBot="1" x14ac:dyDescent="0.4"/>
    <row r="2" spans="2:8" ht="39" customHeight="1" thickTop="1" thickBot="1" x14ac:dyDescent="0.4">
      <c r="B2" s="10" t="s">
        <v>100</v>
      </c>
      <c r="C2" s="15" t="s">
        <v>22</v>
      </c>
      <c r="D2" s="17" t="s">
        <v>81</v>
      </c>
      <c r="E2" s="18" t="s">
        <v>82</v>
      </c>
      <c r="F2" s="18" t="s">
        <v>83</v>
      </c>
      <c r="G2" s="18" t="s">
        <v>84</v>
      </c>
      <c r="H2" s="19" t="s">
        <v>23</v>
      </c>
    </row>
    <row r="3" spans="2:8" ht="88" customHeight="1" thickTop="1" x14ac:dyDescent="0.35">
      <c r="B3" s="11" t="s">
        <v>85</v>
      </c>
      <c r="C3" s="16" t="s">
        <v>24</v>
      </c>
      <c r="D3" s="20" t="s">
        <v>29</v>
      </c>
      <c r="E3" s="21" t="s">
        <v>28</v>
      </c>
      <c r="F3" s="22" t="s">
        <v>27</v>
      </c>
      <c r="G3" s="23" t="s">
        <v>26</v>
      </c>
      <c r="H3" s="24" t="s">
        <v>25</v>
      </c>
    </row>
    <row r="4" spans="2:8" ht="88" customHeight="1" x14ac:dyDescent="0.35">
      <c r="B4" s="11" t="s">
        <v>86</v>
      </c>
      <c r="C4" s="16" t="s">
        <v>30</v>
      </c>
      <c r="D4" s="25" t="s">
        <v>35</v>
      </c>
      <c r="E4" s="26" t="s">
        <v>34</v>
      </c>
      <c r="F4" s="27" t="s">
        <v>33</v>
      </c>
      <c r="G4" s="28" t="s">
        <v>32</v>
      </c>
      <c r="H4" s="29" t="s">
        <v>31</v>
      </c>
    </row>
    <row r="5" spans="2:8" ht="88" customHeight="1" x14ac:dyDescent="0.35">
      <c r="B5" s="11" t="s">
        <v>89</v>
      </c>
      <c r="C5" s="16" t="s">
        <v>36</v>
      </c>
      <c r="D5" s="25" t="s">
        <v>41</v>
      </c>
      <c r="E5" s="26" t="s">
        <v>40</v>
      </c>
      <c r="F5" s="27" t="s">
        <v>39</v>
      </c>
      <c r="G5" s="28" t="s">
        <v>38</v>
      </c>
      <c r="H5" s="29" t="s">
        <v>37</v>
      </c>
    </row>
    <row r="6" spans="2:8" ht="88" customHeight="1" x14ac:dyDescent="0.35">
      <c r="B6" s="11" t="s">
        <v>90</v>
      </c>
      <c r="C6" s="16" t="s">
        <v>42</v>
      </c>
      <c r="D6" s="25" t="s">
        <v>47</v>
      </c>
      <c r="E6" s="26" t="s">
        <v>46</v>
      </c>
      <c r="F6" s="27" t="s">
        <v>45</v>
      </c>
      <c r="G6" s="28" t="s">
        <v>44</v>
      </c>
      <c r="H6" s="29" t="s">
        <v>43</v>
      </c>
    </row>
    <row r="7" spans="2:8" ht="88" customHeight="1" x14ac:dyDescent="0.35">
      <c r="B7" s="11" t="s">
        <v>91</v>
      </c>
      <c r="C7" s="16" t="s">
        <v>95</v>
      </c>
      <c r="D7" s="25" t="s">
        <v>52</v>
      </c>
      <c r="E7" s="26" t="s">
        <v>51</v>
      </c>
      <c r="F7" s="27" t="s">
        <v>50</v>
      </c>
      <c r="G7" s="28" t="s">
        <v>49</v>
      </c>
      <c r="H7" s="29" t="s">
        <v>48</v>
      </c>
    </row>
    <row r="8" spans="2:8" ht="88" customHeight="1" x14ac:dyDescent="0.35">
      <c r="B8" s="11" t="s">
        <v>92</v>
      </c>
      <c r="C8" s="16" t="s">
        <v>98</v>
      </c>
      <c r="D8" s="25" t="s">
        <v>57</v>
      </c>
      <c r="E8" s="26" t="s">
        <v>56</v>
      </c>
      <c r="F8" s="27" t="s">
        <v>55</v>
      </c>
      <c r="G8" s="28" t="s">
        <v>54</v>
      </c>
      <c r="H8" s="29" t="s">
        <v>53</v>
      </c>
    </row>
    <row r="9" spans="2:8" ht="88" customHeight="1" x14ac:dyDescent="0.35">
      <c r="B9" s="11" t="s">
        <v>87</v>
      </c>
      <c r="C9" s="16" t="s">
        <v>58</v>
      </c>
      <c r="D9" s="25" t="s">
        <v>63</v>
      </c>
      <c r="E9" s="26" t="s">
        <v>62</v>
      </c>
      <c r="F9" s="27" t="s">
        <v>61</v>
      </c>
      <c r="G9" s="28" t="s">
        <v>60</v>
      </c>
      <c r="H9" s="29" t="s">
        <v>59</v>
      </c>
    </row>
    <row r="10" spans="2:8" ht="88" customHeight="1" x14ac:dyDescent="0.35">
      <c r="B10" s="11" t="s">
        <v>93</v>
      </c>
      <c r="C10" s="16" t="s">
        <v>64</v>
      </c>
      <c r="D10" s="25" t="s">
        <v>69</v>
      </c>
      <c r="E10" s="26" t="s">
        <v>68</v>
      </c>
      <c r="F10" s="27" t="s">
        <v>67</v>
      </c>
      <c r="G10" s="28" t="s">
        <v>66</v>
      </c>
      <c r="H10" s="29" t="s">
        <v>65</v>
      </c>
    </row>
    <row r="11" spans="2:8" ht="88" customHeight="1" x14ac:dyDescent="0.35">
      <c r="B11" s="11" t="s">
        <v>94</v>
      </c>
      <c r="C11" s="16" t="s">
        <v>70</v>
      </c>
      <c r="D11" s="25" t="s">
        <v>75</v>
      </c>
      <c r="E11" s="26" t="s">
        <v>74</v>
      </c>
      <c r="F11" s="27" t="s">
        <v>73</v>
      </c>
      <c r="G11" s="28" t="s">
        <v>72</v>
      </c>
      <c r="H11" s="29" t="s">
        <v>71</v>
      </c>
    </row>
    <row r="12" spans="2:8" ht="88" customHeight="1" thickBot="1" x14ac:dyDescent="0.4">
      <c r="B12" s="11" t="s">
        <v>88</v>
      </c>
      <c r="C12" s="16" t="s">
        <v>99</v>
      </c>
      <c r="D12" s="30" t="s">
        <v>80</v>
      </c>
      <c r="E12" s="31" t="s">
        <v>79</v>
      </c>
      <c r="F12" s="32" t="s">
        <v>78</v>
      </c>
      <c r="G12" s="33" t="s">
        <v>77</v>
      </c>
      <c r="H12" s="34" t="s">
        <v>76</v>
      </c>
    </row>
    <row r="13" spans="2:8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Evaluación</vt:lpstr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</cp:lastModifiedBy>
  <dcterms:modified xsi:type="dcterms:W3CDTF">2026-04-15T11:37:36Z</dcterms:modified>
</cp:coreProperties>
</file>